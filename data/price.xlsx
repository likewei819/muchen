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test\data\"/>
    </mc:Choice>
  </mc:AlternateContent>
  <xr:revisionPtr revIDLastSave="0" documentId="13_ncr:1_{2EE74448-2726-49CB-93AC-7B62B5B8B0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ce" sheetId="1" r:id="rId1"/>
  </sheets>
  <calcPr calcId="191029"/>
</workbook>
</file>

<file path=xl/calcChain.xml><?xml version="1.0" encoding="utf-8"?>
<calcChain xmlns="http://schemas.openxmlformats.org/spreadsheetml/2006/main">
  <c r="F25" i="1" l="1"/>
  <c r="D14" i="1"/>
  <c r="F15" i="1"/>
  <c r="D13" i="1"/>
  <c r="F14" i="1" l="1"/>
  <c r="G14" i="1" s="1"/>
  <c r="H15" i="1"/>
  <c r="G15" i="1"/>
  <c r="D15" i="1"/>
  <c r="H14" i="1"/>
  <c r="E15" i="1"/>
  <c r="E14" i="1"/>
  <c r="F13" i="1"/>
  <c r="E13" i="1"/>
  <c r="G13" i="1" l="1"/>
  <c r="H13" i="1"/>
  <c r="H25" i="1"/>
  <c r="E25" i="1"/>
  <c r="D25" i="1"/>
  <c r="F24" i="1"/>
  <c r="H24" i="1" s="1"/>
  <c r="E24" i="1"/>
  <c r="D24" i="1"/>
  <c r="F23" i="1"/>
  <c r="G23" i="1" s="1"/>
  <c r="E23" i="1"/>
  <c r="D23" i="1"/>
  <c r="F22" i="1"/>
  <c r="G22" i="1" s="1"/>
  <c r="E22" i="1"/>
  <c r="D22" i="1"/>
  <c r="F21" i="1"/>
  <c r="H21" i="1" s="1"/>
  <c r="E21" i="1"/>
  <c r="D21" i="1"/>
  <c r="F20" i="1"/>
  <c r="H20" i="1" s="1"/>
  <c r="E20" i="1"/>
  <c r="D20" i="1"/>
  <c r="F19" i="1"/>
  <c r="H19" i="1" s="1"/>
  <c r="E19" i="1"/>
  <c r="D19" i="1"/>
  <c r="F18" i="1"/>
  <c r="H18" i="1" s="1"/>
  <c r="E18" i="1"/>
  <c r="D18" i="1"/>
  <c r="F17" i="1"/>
  <c r="H17" i="1" s="1"/>
  <c r="E17" i="1"/>
  <c r="D17" i="1"/>
  <c r="F16" i="1"/>
  <c r="H16" i="1" s="1"/>
  <c r="E16" i="1"/>
  <c r="D16" i="1"/>
  <c r="F12" i="1"/>
  <c r="G12" i="1" s="1"/>
  <c r="E12" i="1"/>
  <c r="D12" i="1"/>
  <c r="F11" i="1"/>
  <c r="H11" i="1" s="1"/>
  <c r="E11" i="1"/>
  <c r="D11" i="1"/>
  <c r="F10" i="1"/>
  <c r="H10" i="1" s="1"/>
  <c r="E10" i="1"/>
  <c r="D10" i="1"/>
  <c r="F8" i="1"/>
  <c r="H8" i="1" s="1"/>
  <c r="E8" i="1"/>
  <c r="D8" i="1"/>
  <c r="F9" i="1"/>
  <c r="G9" i="1" s="1"/>
  <c r="E9" i="1"/>
  <c r="D9" i="1"/>
  <c r="F7" i="1"/>
  <c r="H7" i="1" s="1"/>
  <c r="E7" i="1"/>
  <c r="D7" i="1"/>
  <c r="F6" i="1"/>
  <c r="H6" i="1" s="1"/>
  <c r="E6" i="1"/>
  <c r="D6" i="1"/>
  <c r="F5" i="1"/>
  <c r="H5" i="1" s="1"/>
  <c r="E5" i="1"/>
  <c r="D5" i="1"/>
  <c r="F4" i="1"/>
  <c r="H4" i="1" s="1"/>
  <c r="E4" i="1"/>
  <c r="D4" i="1"/>
  <c r="F3" i="1"/>
  <c r="G3" i="1" s="1"/>
  <c r="E3" i="1"/>
  <c r="D3" i="1"/>
  <c r="F2" i="1"/>
  <c r="H2" i="1" s="1"/>
  <c r="E2" i="1"/>
  <c r="D2" i="1"/>
  <c r="G4" i="1" l="1"/>
  <c r="G19" i="1"/>
  <c r="G7" i="1"/>
  <c r="H12" i="1"/>
  <c r="G20" i="1"/>
  <c r="H23" i="1"/>
  <c r="G8" i="1"/>
  <c r="G5" i="1"/>
  <c r="H22" i="1"/>
  <c r="H9" i="1"/>
  <c r="G16" i="1"/>
  <c r="G24" i="1"/>
  <c r="G6" i="1"/>
  <c r="G18" i="1"/>
  <c r="G11" i="1"/>
  <c r="G10" i="1"/>
  <c r="H3" i="1"/>
  <c r="G25" i="1"/>
  <c r="G21" i="1"/>
  <c r="G2" i="1"/>
  <c r="G17" i="1"/>
</calcChain>
</file>

<file path=xl/sharedStrings.xml><?xml version="1.0" encoding="utf-8"?>
<sst xmlns="http://schemas.openxmlformats.org/spreadsheetml/2006/main" count="36" uniqueCount="28">
  <si>
    <t>上架日期</t>
  </si>
  <si>
    <t>开发款号</t>
  </si>
  <si>
    <t>下单价
（未含税）</t>
  </si>
  <si>
    <t>下单价
（含1%增值税）</t>
  </si>
  <si>
    <t>下单价
（含13%增值税）</t>
  </si>
  <si>
    <t>代发价
（未含税）</t>
  </si>
  <si>
    <t>代发价
（含1%增值税）</t>
  </si>
  <si>
    <t>代发价
（含13%增值税）</t>
  </si>
  <si>
    <t>面料成分</t>
  </si>
  <si>
    <t>90%绵羊毛 10%山羊绒</t>
  </si>
  <si>
    <t>100%绵羊毛</t>
  </si>
  <si>
    <t>70%绵羊毛 25%聚酯纤维 5%其他纤维</t>
  </si>
  <si>
    <t>66.8%绵羊毛 28.8%聚酯纤维 1.8%腈纶 1.5%锦纶 1.1%粘纤</t>
  </si>
  <si>
    <t>70%绵羊毛 30%聚酯纤维</t>
  </si>
  <si>
    <t>68.1%绵羊毛 27.8%聚酯纤维 4.1%其他纤维</t>
  </si>
  <si>
    <t>8407-2</t>
  </si>
  <si>
    <t>2003-2</t>
  </si>
  <si>
    <t>67.4%绵羊毛 32.6%聚酯纤维</t>
  </si>
  <si>
    <t>64%绵羊毛 31.1%聚酯纤维 4.9%其他纤维</t>
  </si>
  <si>
    <t>50%绵羊毛 40%聚酯纤维 10%其他纤维</t>
  </si>
  <si>
    <t>70%绵羊毛 20%聚酯纤维 10%其他纤维</t>
  </si>
  <si>
    <t>70%绵羊毛 23%聚酯纤维 7%其他纤维</t>
  </si>
  <si>
    <t>65%绵羊毛 33%聚酯纤维 2%其他纤维</t>
  </si>
  <si>
    <t>65%绵羊毛 25%聚酯纤维 10%其他纤维</t>
  </si>
  <si>
    <t>50%绵羊毛 47%聚酯纤维 3%其他纤维</t>
  </si>
  <si>
    <t>78%绵羊毛 20%聚酯纤维 2%其他纤维</t>
  </si>
  <si>
    <t>52.9%绵羊毛 36.1%聚酯纤维 3.7%锦纶 2.3%腈纶 5%其他纤维</t>
  </si>
  <si>
    <t>1823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</si>
</sst>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workbookViewId="0">
      <selection activeCell="G30" sqref="G30"/>
    </sheetView>
  </sheetViews>
  <sheetFormatPr defaultColWidth="9" defaultRowHeight="13.5" x14ac:dyDescent="0.15"/>
  <cols>
    <col min="1" max="1" width="11" style="1" customWidth="1"/>
    <col min="2" max="2" width="9" style="2"/>
    <col min="3" max="3" width="11" style="1" customWidth="1"/>
    <col min="4" max="4" width="15.25" style="1" customWidth="1"/>
    <col min="5" max="5" width="16.375" style="1" customWidth="1"/>
    <col min="6" max="6" width="11" style="1" customWidth="1"/>
    <col min="7" max="7" width="15.25" style="1" customWidth="1"/>
    <col min="8" max="8" width="16.375" style="1" customWidth="1"/>
    <col min="9" max="9" width="58.375" style="3" customWidth="1"/>
    <col min="10" max="24" width="9" style="1"/>
  </cols>
  <sheetData>
    <row r="1" spans="1:9" ht="27" x14ac:dyDescent="0.15">
      <c r="A1" s="10" t="s">
        <v>0</v>
      </c>
      <c r="B1" s="11" t="s">
        <v>1</v>
      </c>
      <c r="C1" s="1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 x14ac:dyDescent="0.15">
      <c r="A2" s="13">
        <v>46238</v>
      </c>
      <c r="B2" s="11">
        <v>19251</v>
      </c>
      <c r="C2" s="14">
        <v>310.5</v>
      </c>
      <c r="D2" s="5">
        <f t="shared" ref="D2:D12" si="0">C2*1.01</f>
        <v>313.60500000000002</v>
      </c>
      <c r="E2" s="5">
        <f t="shared" ref="E2:E12" si="1">C2*1.13</f>
        <v>350.86499999999995</v>
      </c>
      <c r="F2" s="5">
        <f t="shared" ref="F2:F12" si="2">C2+20</f>
        <v>330.5</v>
      </c>
      <c r="G2" s="5">
        <f t="shared" ref="G2:G12" si="3">F2*1.01</f>
        <v>333.80500000000001</v>
      </c>
      <c r="H2" s="5">
        <f t="shared" ref="H2:H12" si="4">F2*1.13</f>
        <v>373.46499999999997</v>
      </c>
      <c r="I2" s="6" t="s">
        <v>9</v>
      </c>
    </row>
    <row r="3" spans="1:9" x14ac:dyDescent="0.15">
      <c r="A3" s="13">
        <v>46237</v>
      </c>
      <c r="B3" s="11">
        <v>19133</v>
      </c>
      <c r="C3" s="14">
        <v>310.5</v>
      </c>
      <c r="D3" s="5">
        <f t="shared" si="0"/>
        <v>313.60500000000002</v>
      </c>
      <c r="E3" s="5">
        <f t="shared" si="1"/>
        <v>350.86499999999995</v>
      </c>
      <c r="F3" s="5">
        <f t="shared" si="2"/>
        <v>330.5</v>
      </c>
      <c r="G3" s="5">
        <f t="shared" si="3"/>
        <v>333.80500000000001</v>
      </c>
      <c r="H3" s="5">
        <f t="shared" si="4"/>
        <v>373.46499999999997</v>
      </c>
      <c r="I3" s="6" t="s">
        <v>9</v>
      </c>
    </row>
    <row r="4" spans="1:9" x14ac:dyDescent="0.15">
      <c r="A4" s="13">
        <v>46236</v>
      </c>
      <c r="B4" s="11">
        <v>24093</v>
      </c>
      <c r="C4" s="14">
        <v>276</v>
      </c>
      <c r="D4" s="5">
        <f t="shared" si="0"/>
        <v>278.76</v>
      </c>
      <c r="E4" s="5">
        <f t="shared" si="1"/>
        <v>311.88</v>
      </c>
      <c r="F4" s="5">
        <f t="shared" si="2"/>
        <v>296</v>
      </c>
      <c r="G4" s="5">
        <f t="shared" si="3"/>
        <v>298.95999999999998</v>
      </c>
      <c r="H4" s="5">
        <f t="shared" si="4"/>
        <v>334.47999999999996</v>
      </c>
      <c r="I4" s="6" t="s">
        <v>10</v>
      </c>
    </row>
    <row r="5" spans="1:9" x14ac:dyDescent="0.15">
      <c r="A5" s="13">
        <v>46235</v>
      </c>
      <c r="B5" s="11">
        <v>2402</v>
      </c>
      <c r="C5" s="14">
        <v>143.75</v>
      </c>
      <c r="D5" s="5">
        <f t="shared" si="0"/>
        <v>145.1875</v>
      </c>
      <c r="E5" s="5">
        <f t="shared" si="1"/>
        <v>162.43749999999997</v>
      </c>
      <c r="F5" s="5">
        <f t="shared" si="2"/>
        <v>163.75</v>
      </c>
      <c r="G5" s="5">
        <f t="shared" si="3"/>
        <v>165.38749999999999</v>
      </c>
      <c r="H5" s="5">
        <f t="shared" si="4"/>
        <v>185.03749999999999</v>
      </c>
      <c r="I5" s="6" t="s">
        <v>11</v>
      </c>
    </row>
    <row r="6" spans="1:9" x14ac:dyDescent="0.15">
      <c r="A6" s="13">
        <v>46234</v>
      </c>
      <c r="B6" s="11">
        <v>8406</v>
      </c>
      <c r="C6" s="14">
        <v>184</v>
      </c>
      <c r="D6" s="5">
        <f t="shared" si="0"/>
        <v>185.84</v>
      </c>
      <c r="E6" s="5">
        <f t="shared" si="1"/>
        <v>207.92</v>
      </c>
      <c r="F6" s="5">
        <f t="shared" si="2"/>
        <v>204</v>
      </c>
      <c r="G6" s="5">
        <f t="shared" si="3"/>
        <v>206.04</v>
      </c>
      <c r="H6" s="5">
        <f t="shared" si="4"/>
        <v>230.51999999999998</v>
      </c>
      <c r="I6" s="6" t="s">
        <v>12</v>
      </c>
    </row>
    <row r="7" spans="1:9" x14ac:dyDescent="0.15">
      <c r="A7" s="13">
        <v>46232</v>
      </c>
      <c r="B7" s="11">
        <v>8405</v>
      </c>
      <c r="C7" s="14">
        <v>201.25</v>
      </c>
      <c r="D7" s="5">
        <f t="shared" si="0"/>
        <v>203.26249999999999</v>
      </c>
      <c r="E7" s="5">
        <f t="shared" si="1"/>
        <v>227.41249999999997</v>
      </c>
      <c r="F7" s="5">
        <f t="shared" si="2"/>
        <v>221.25</v>
      </c>
      <c r="G7" s="5">
        <f t="shared" si="3"/>
        <v>223.46250000000001</v>
      </c>
      <c r="H7" s="5">
        <f t="shared" si="4"/>
        <v>250.01249999999999</v>
      </c>
      <c r="I7" s="6" t="s">
        <v>10</v>
      </c>
    </row>
    <row r="8" spans="1:9" x14ac:dyDescent="0.15">
      <c r="A8" s="13">
        <v>46188</v>
      </c>
      <c r="B8" s="11">
        <v>25083</v>
      </c>
      <c r="C8" s="14">
        <v>161</v>
      </c>
      <c r="D8" s="5">
        <f>C8*1.01</f>
        <v>162.61000000000001</v>
      </c>
      <c r="E8" s="5">
        <f>C8*1.13</f>
        <v>181.92999999999998</v>
      </c>
      <c r="F8" s="5">
        <f>C8+20</f>
        <v>181</v>
      </c>
      <c r="G8" s="5">
        <f>F8*1.01</f>
        <v>182.81</v>
      </c>
      <c r="H8" s="5">
        <f>F8*1.13</f>
        <v>204.52999999999997</v>
      </c>
      <c r="I8" s="6" t="s">
        <v>14</v>
      </c>
    </row>
    <row r="9" spans="1:9" x14ac:dyDescent="0.15">
      <c r="A9" s="13">
        <v>46188</v>
      </c>
      <c r="B9" s="11">
        <v>24087</v>
      </c>
      <c r="C9" s="14">
        <v>165</v>
      </c>
      <c r="D9" s="5">
        <f t="shared" si="0"/>
        <v>166.65</v>
      </c>
      <c r="E9" s="5">
        <f t="shared" si="1"/>
        <v>186.45</v>
      </c>
      <c r="F9" s="5">
        <f t="shared" si="2"/>
        <v>185</v>
      </c>
      <c r="G9" s="5">
        <f t="shared" si="3"/>
        <v>186.85</v>
      </c>
      <c r="H9" s="5">
        <f t="shared" si="4"/>
        <v>209.04999999999998</v>
      </c>
      <c r="I9" s="7" t="s">
        <v>13</v>
      </c>
    </row>
    <row r="10" spans="1:9" x14ac:dyDescent="0.15">
      <c r="A10" s="13">
        <v>46188</v>
      </c>
      <c r="B10" s="11">
        <v>8407</v>
      </c>
      <c r="C10" s="14">
        <v>156.4</v>
      </c>
      <c r="D10" s="5">
        <f t="shared" si="0"/>
        <v>157.964</v>
      </c>
      <c r="E10" s="5">
        <f t="shared" si="1"/>
        <v>176.732</v>
      </c>
      <c r="F10" s="5">
        <f t="shared" si="2"/>
        <v>176.4</v>
      </c>
      <c r="G10" s="5">
        <f t="shared" si="3"/>
        <v>178.16400000000002</v>
      </c>
      <c r="H10" s="5">
        <f t="shared" si="4"/>
        <v>199.33199999999999</v>
      </c>
      <c r="I10" s="6" t="s">
        <v>14</v>
      </c>
    </row>
    <row r="11" spans="1:9" x14ac:dyDescent="0.15">
      <c r="A11" s="13">
        <v>46188</v>
      </c>
      <c r="B11" s="11" t="s">
        <v>15</v>
      </c>
      <c r="C11" s="14">
        <v>160</v>
      </c>
      <c r="D11" s="5">
        <f t="shared" si="0"/>
        <v>161.6</v>
      </c>
      <c r="E11" s="5">
        <f t="shared" si="1"/>
        <v>180.79999999999998</v>
      </c>
      <c r="F11" s="5">
        <f t="shared" si="2"/>
        <v>180</v>
      </c>
      <c r="G11" s="5">
        <f t="shared" si="3"/>
        <v>181.8</v>
      </c>
      <c r="H11" s="5">
        <f t="shared" si="4"/>
        <v>203.39999999999998</v>
      </c>
      <c r="I11" s="6" t="s">
        <v>10</v>
      </c>
    </row>
    <row r="12" spans="1:9" x14ac:dyDescent="0.15">
      <c r="A12" s="13">
        <v>46188</v>
      </c>
      <c r="B12" s="15" t="s">
        <v>16</v>
      </c>
      <c r="C12" s="14">
        <v>189.75</v>
      </c>
      <c r="D12" s="5">
        <f t="shared" si="0"/>
        <v>191.64750000000001</v>
      </c>
      <c r="E12" s="5">
        <f t="shared" si="1"/>
        <v>214.41749999999999</v>
      </c>
      <c r="F12" s="5">
        <f t="shared" si="2"/>
        <v>209.75</v>
      </c>
      <c r="G12" s="5">
        <f t="shared" si="3"/>
        <v>211.8475</v>
      </c>
      <c r="H12" s="5">
        <f t="shared" si="4"/>
        <v>237.01749999999998</v>
      </c>
      <c r="I12" s="6" t="s">
        <v>14</v>
      </c>
    </row>
    <row r="13" spans="1:9" x14ac:dyDescent="0.15">
      <c r="A13" s="13">
        <v>46188</v>
      </c>
      <c r="B13" s="11">
        <v>25085</v>
      </c>
      <c r="C13" s="14">
        <v>178</v>
      </c>
      <c r="D13" s="5">
        <f>C13*1.01</f>
        <v>179.78</v>
      </c>
      <c r="E13" s="5">
        <f t="shared" ref="E13" si="5">C13*1.13</f>
        <v>201.14</v>
      </c>
      <c r="F13" s="5">
        <f t="shared" ref="F13" si="6">C13+20</f>
        <v>198</v>
      </c>
      <c r="G13" s="5">
        <f t="shared" ref="G13" si="7">F13*1.01</f>
        <v>199.98</v>
      </c>
      <c r="H13" s="5">
        <f t="shared" ref="H13" si="8">F13*1.13</f>
        <v>223.73999999999998</v>
      </c>
      <c r="I13" s="3" t="s">
        <v>17</v>
      </c>
    </row>
    <row r="14" spans="1:9" x14ac:dyDescent="0.15">
      <c r="A14" s="13">
        <v>46188</v>
      </c>
      <c r="B14" s="11">
        <v>24110</v>
      </c>
      <c r="C14" s="14">
        <v>190</v>
      </c>
      <c r="D14" s="5">
        <f t="shared" ref="D14:D15" si="9">C14*1.01</f>
        <v>191.9</v>
      </c>
      <c r="E14" s="5">
        <f t="shared" ref="E14:E15" si="10">C14*1.13</f>
        <v>214.7</v>
      </c>
      <c r="F14" s="5">
        <f t="shared" ref="F14:F15" si="11">C14+20</f>
        <v>210</v>
      </c>
      <c r="G14" s="5">
        <f t="shared" ref="G14:G15" si="12">F14*1.01</f>
        <v>212.1</v>
      </c>
      <c r="H14" s="5">
        <f t="shared" ref="H14:H15" si="13">F14*1.13</f>
        <v>237.29999999999998</v>
      </c>
      <c r="I14" s="3" t="s">
        <v>17</v>
      </c>
    </row>
    <row r="15" spans="1:9" x14ac:dyDescent="0.15">
      <c r="A15" s="13">
        <v>46188</v>
      </c>
      <c r="B15" s="11">
        <v>8410</v>
      </c>
      <c r="C15" s="14">
        <v>219</v>
      </c>
      <c r="D15" s="5">
        <f t="shared" si="9"/>
        <v>221.19</v>
      </c>
      <c r="E15" s="5">
        <f t="shared" si="10"/>
        <v>247.46999999999997</v>
      </c>
      <c r="F15" s="5">
        <f t="shared" si="11"/>
        <v>239</v>
      </c>
      <c r="G15" s="5">
        <f t="shared" si="12"/>
        <v>241.39000000000001</v>
      </c>
      <c r="H15" s="5">
        <f t="shared" si="13"/>
        <v>270.07</v>
      </c>
      <c r="I15" s="3" t="s">
        <v>18</v>
      </c>
    </row>
    <row r="16" spans="1:9" x14ac:dyDescent="0.15">
      <c r="A16" s="13">
        <v>46188</v>
      </c>
      <c r="B16" s="11">
        <v>92003</v>
      </c>
      <c r="C16" s="14">
        <v>212.75</v>
      </c>
      <c r="D16" s="5">
        <f t="shared" ref="D16:D25" si="14">C16*1.01</f>
        <v>214.8775</v>
      </c>
      <c r="E16" s="5">
        <f t="shared" ref="E16:E25" si="15">C16*1.13</f>
        <v>240.40749999999997</v>
      </c>
      <c r="F16" s="5">
        <f t="shared" ref="F16:F24" si="16">C16+20</f>
        <v>232.75</v>
      </c>
      <c r="G16" s="5">
        <f t="shared" ref="G16:G25" si="17">F16*1.01</f>
        <v>235.07750000000001</v>
      </c>
      <c r="H16" s="5">
        <f t="shared" ref="H16:H25" si="18">F16*1.13</f>
        <v>263.00749999999999</v>
      </c>
      <c r="I16" s="6" t="s">
        <v>19</v>
      </c>
    </row>
    <row r="17" spans="1:9" x14ac:dyDescent="0.15">
      <c r="A17" s="13">
        <v>46188</v>
      </c>
      <c r="B17" s="11" t="s">
        <v>27</v>
      </c>
      <c r="C17" s="14">
        <v>149.5</v>
      </c>
      <c r="D17" s="5">
        <f t="shared" si="14"/>
        <v>150.995</v>
      </c>
      <c r="E17" s="5">
        <f t="shared" si="15"/>
        <v>168.93499999999997</v>
      </c>
      <c r="F17" s="5">
        <f t="shared" si="16"/>
        <v>169.5</v>
      </c>
      <c r="G17" s="5">
        <f t="shared" si="17"/>
        <v>171.19499999999999</v>
      </c>
      <c r="H17" s="5">
        <f t="shared" si="18"/>
        <v>191.53499999999997</v>
      </c>
      <c r="I17" s="6" t="s">
        <v>20</v>
      </c>
    </row>
    <row r="18" spans="1:9" x14ac:dyDescent="0.15">
      <c r="A18" s="13">
        <v>46188</v>
      </c>
      <c r="B18" s="11">
        <v>338</v>
      </c>
      <c r="C18" s="14">
        <v>218.5</v>
      </c>
      <c r="D18" s="5">
        <f t="shared" si="14"/>
        <v>220.685</v>
      </c>
      <c r="E18" s="5">
        <f t="shared" si="15"/>
        <v>246.90499999999997</v>
      </c>
      <c r="F18" s="5">
        <f t="shared" si="16"/>
        <v>238.5</v>
      </c>
      <c r="G18" s="5">
        <f t="shared" si="17"/>
        <v>240.88499999999999</v>
      </c>
      <c r="H18" s="5">
        <f t="shared" si="18"/>
        <v>269.505</v>
      </c>
      <c r="I18" s="6" t="s">
        <v>21</v>
      </c>
    </row>
    <row r="19" spans="1:9" x14ac:dyDescent="0.15">
      <c r="A19" s="13">
        <v>46188</v>
      </c>
      <c r="B19" s="11">
        <v>92008</v>
      </c>
      <c r="C19" s="14">
        <v>184</v>
      </c>
      <c r="D19" s="5">
        <f t="shared" si="14"/>
        <v>185.84</v>
      </c>
      <c r="E19" s="5">
        <f t="shared" si="15"/>
        <v>207.92</v>
      </c>
      <c r="F19" s="5">
        <f t="shared" si="16"/>
        <v>204</v>
      </c>
      <c r="G19" s="5">
        <f t="shared" si="17"/>
        <v>206.04</v>
      </c>
      <c r="H19" s="5">
        <f t="shared" si="18"/>
        <v>230.51999999999998</v>
      </c>
      <c r="I19" s="6" t="s">
        <v>22</v>
      </c>
    </row>
    <row r="20" spans="1:9" x14ac:dyDescent="0.15">
      <c r="A20" s="13">
        <v>46188</v>
      </c>
      <c r="B20" s="11">
        <v>1901</v>
      </c>
      <c r="C20" s="14">
        <v>161</v>
      </c>
      <c r="D20" s="5">
        <f t="shared" si="14"/>
        <v>162.61000000000001</v>
      </c>
      <c r="E20" s="5">
        <f t="shared" si="15"/>
        <v>181.92999999999998</v>
      </c>
      <c r="F20" s="5">
        <f t="shared" si="16"/>
        <v>181</v>
      </c>
      <c r="G20" s="5">
        <f t="shared" si="17"/>
        <v>182.81</v>
      </c>
      <c r="H20" s="5">
        <f t="shared" si="18"/>
        <v>204.52999999999997</v>
      </c>
      <c r="I20" s="6" t="s">
        <v>23</v>
      </c>
    </row>
    <row r="21" spans="1:9" x14ac:dyDescent="0.15">
      <c r="A21" s="13">
        <v>46188</v>
      </c>
      <c r="B21" s="11">
        <v>92019</v>
      </c>
      <c r="C21" s="14">
        <v>161</v>
      </c>
      <c r="D21" s="5">
        <f t="shared" si="14"/>
        <v>162.61000000000001</v>
      </c>
      <c r="E21" s="5">
        <f t="shared" si="15"/>
        <v>181.92999999999998</v>
      </c>
      <c r="F21" s="5">
        <f t="shared" si="16"/>
        <v>181</v>
      </c>
      <c r="G21" s="5">
        <f t="shared" si="17"/>
        <v>182.81</v>
      </c>
      <c r="H21" s="5">
        <f t="shared" si="18"/>
        <v>204.52999999999997</v>
      </c>
      <c r="I21" s="6" t="s">
        <v>24</v>
      </c>
    </row>
    <row r="22" spans="1:9" x14ac:dyDescent="0.15">
      <c r="A22" s="13">
        <v>46188</v>
      </c>
      <c r="B22" s="11">
        <v>92581</v>
      </c>
      <c r="C22" s="14">
        <v>207</v>
      </c>
      <c r="D22" s="8">
        <f t="shared" si="14"/>
        <v>209.07</v>
      </c>
      <c r="E22" s="5">
        <f t="shared" si="15"/>
        <v>233.90999999999997</v>
      </c>
      <c r="F22" s="5">
        <f t="shared" si="16"/>
        <v>227</v>
      </c>
      <c r="G22" s="5">
        <f t="shared" si="17"/>
        <v>229.27</v>
      </c>
      <c r="H22" s="5">
        <f t="shared" si="18"/>
        <v>256.51</v>
      </c>
      <c r="I22" s="7" t="s">
        <v>25</v>
      </c>
    </row>
    <row r="23" spans="1:9" x14ac:dyDescent="0.15">
      <c r="A23" s="13">
        <v>46188</v>
      </c>
      <c r="B23" s="11">
        <v>92005</v>
      </c>
      <c r="C23" s="14">
        <v>184</v>
      </c>
      <c r="D23" s="5">
        <f t="shared" si="14"/>
        <v>185.84</v>
      </c>
      <c r="E23" s="5">
        <f t="shared" si="15"/>
        <v>207.92</v>
      </c>
      <c r="F23" s="5">
        <f t="shared" si="16"/>
        <v>204</v>
      </c>
      <c r="G23" s="5">
        <f t="shared" si="17"/>
        <v>206.04</v>
      </c>
      <c r="H23" s="5">
        <f t="shared" si="18"/>
        <v>230.51999999999998</v>
      </c>
      <c r="I23" s="6" t="s">
        <v>22</v>
      </c>
    </row>
    <row r="24" spans="1:9" x14ac:dyDescent="0.15">
      <c r="A24" s="13">
        <v>46188</v>
      </c>
      <c r="B24" s="11">
        <v>8065</v>
      </c>
      <c r="C24" s="14">
        <v>115</v>
      </c>
      <c r="D24" s="5">
        <f t="shared" si="14"/>
        <v>116.15</v>
      </c>
      <c r="E24" s="5">
        <f t="shared" si="15"/>
        <v>129.94999999999999</v>
      </c>
      <c r="F24" s="5">
        <f t="shared" si="16"/>
        <v>135</v>
      </c>
      <c r="G24" s="5">
        <f t="shared" si="17"/>
        <v>136.35</v>
      </c>
      <c r="H24" s="5">
        <f t="shared" si="18"/>
        <v>152.54999999999998</v>
      </c>
      <c r="I24" s="6" t="s">
        <v>26</v>
      </c>
    </row>
    <row r="25" spans="1:9" x14ac:dyDescent="0.15">
      <c r="A25" s="13">
        <v>46188</v>
      </c>
      <c r="B25" s="11">
        <v>307</v>
      </c>
      <c r="C25" s="14">
        <v>126.5</v>
      </c>
      <c r="D25" s="5">
        <f t="shared" si="14"/>
        <v>127.765</v>
      </c>
      <c r="E25" s="5">
        <f t="shared" si="15"/>
        <v>142.94499999999999</v>
      </c>
      <c r="F25" s="5">
        <f>C25+20</f>
        <v>146.5</v>
      </c>
      <c r="G25" s="5">
        <f t="shared" si="17"/>
        <v>147.965</v>
      </c>
      <c r="H25" s="5">
        <f t="shared" si="18"/>
        <v>165.54499999999999</v>
      </c>
      <c r="I25" s="6" t="s">
        <v>21</v>
      </c>
    </row>
    <row r="26" spans="1:9" x14ac:dyDescent="0.15">
      <c r="A26" s="16"/>
      <c r="B26" s="11"/>
      <c r="C26" s="10"/>
    </row>
    <row r="27" spans="1:9" x14ac:dyDescent="0.15">
      <c r="A27" s="9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hxs</dc:creator>
  <cp:lastModifiedBy>大锤 王</cp:lastModifiedBy>
  <dcterms:created xsi:type="dcterms:W3CDTF">2026-08-06T10:58:00Z</dcterms:created>
  <dcterms:modified xsi:type="dcterms:W3CDTF">2026-08-07T19:48:23Z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B3653961BE51442B9718DE458ADA7CB9_12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